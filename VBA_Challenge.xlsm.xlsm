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23617801f9d04d6/Documents/UOT Data Analytics Bootcamp/MODULES_STUDY CLASS/2_Module_VBA of Wall Street/Challenge_2/"/>
    </mc:Choice>
  </mc:AlternateContent>
  <xr:revisionPtr revIDLastSave="14" documentId="14_{1306DFE9-34D3-4808-BD4C-4756355ED143}" xr6:coauthVersionLast="47" xr6:coauthVersionMax="47" xr10:uidLastSave="{6713B105-9AAE-4474-9337-04422F8B1520}"/>
  <bookViews>
    <workbookView xWindow="-22920" yWindow="2400" windowWidth="21600" windowHeight="11385" activeTab="3" xr2:uid="{00000000-000D-0000-FFFF-FFFF00000000}"/>
  </bookViews>
  <sheets>
    <sheet name="2017" sheetId="1" r:id="rId1"/>
    <sheet name="2018" sheetId="2" r:id="rId2"/>
    <sheet name="DQAnalysis" sheetId="3" r:id="rId3"/>
    <sheet name="All Stocks Analysis" sheetId="4" r:id="rId4"/>
    <sheet name="Comp All Stocks 2017 vs 2018" sheetId="5" r:id="rId5"/>
  </sheets>
  <calcPr calcId="181029"/>
  <pivotCaches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5" l="1"/>
  <c r="J7" i="5"/>
  <c r="J8" i="5"/>
  <c r="J9" i="5"/>
  <c r="J10" i="5"/>
  <c r="J11" i="5"/>
  <c r="J12" i="5"/>
  <c r="J13" i="5"/>
  <c r="J14" i="5"/>
  <c r="J15" i="5"/>
  <c r="J16" i="5"/>
  <c r="J17" i="5"/>
  <c r="J6" i="5"/>
  <c r="Q14" i="1"/>
  <c r="Q20" i="1"/>
  <c r="Q15" i="1"/>
  <c r="Q21" i="1"/>
  <c r="Q16" i="1"/>
  <c r="Q22" i="1"/>
  <c r="Q17" i="1"/>
  <c r="Q23" i="1"/>
  <c r="Q25" i="1"/>
  <c r="Q18" i="1"/>
  <c r="Q24" i="1"/>
  <c r="Q19" i="1"/>
  <c r="Q13" i="1"/>
</calcChain>
</file>

<file path=xl/sharedStrings.xml><?xml version="1.0" encoding="utf-8"?>
<sst xmlns="http://schemas.openxmlformats.org/spreadsheetml/2006/main" count="12139" uniqueCount="539">
  <si>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</si>
  <si>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</si>
  <si>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</si>
  <si>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</si>
  <si>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</si>
  <si>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</si>
  <si>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</si>
  <si>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</si>
  <si>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</si>
  <si>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</si>
  <si>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</si>
  <si>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</si>
  <si>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</si>
  <si>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</si>
  <si>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</si>
  <si>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</si>
  <si>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</si>
  <si>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</si>
  <si>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</si>
  <si>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</si>
  <si>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</si>
  <si>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</si>
  <si>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</si>
  <si>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</si>
  <si>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</si>
  <si>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</si>
  <si>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</si>
  <si>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</si>
  <si>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</si>
  <si>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</si>
  <si>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</si>
  <si>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</si>
  <si>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</si>
  <si>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</si>
  <si>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</si>
  <si>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</si>
  <si>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</si>
  <si>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</si>
  <si>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</si>
  <si>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</si>
  <si>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</si>
  <si>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</si>
  <si>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</si>
  <si>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</si>
  <si>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</si>
  <si>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</si>
  <si>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</si>
  <si>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</si>
  <si>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</si>
  <si>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</si>
  <si>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</si>
  <si>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</si>
  <si>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</si>
  <si>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</si>
  <si>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</si>
  <si>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</si>
  <si>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</si>
  <si>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</si>
  <si>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</si>
  <si>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</si>
  <si>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</si>
  <si>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</si>
  <si>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</si>
  <si>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</si>
  <si>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</si>
  <si>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</si>
  <si>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</si>
  <si>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</si>
  <si>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</si>
  <si>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</si>
  <si>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</si>
  <si>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</si>
  <si>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</si>
  <si>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</si>
  <si>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</si>
  <si>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</si>
  <si>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</si>
  <si>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</si>
  <si>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</si>
  <si>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</si>
  <si>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</si>
  <si>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</si>
  <si>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</si>
  <si>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</si>
  <si>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</si>
  <si>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</si>
  <si>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</si>
  <si>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</si>
  <si>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</si>
  <si>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</si>
  <si>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</si>
  <si>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</si>
  <si>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</si>
  <si>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</si>
  <si>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</si>
  <si>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</si>
  <si>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</si>
  <si>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</si>
  <si>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</si>
  <si>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</si>
  <si>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</si>
  <si>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</si>
  <si>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</si>
  <si>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</si>
  <si>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</si>
  <si>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</si>
  <si>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</si>
  <si>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</si>
  <si>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</si>
  <si>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</si>
  <si>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</si>
  <si>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</si>
  <si>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</si>
  <si>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</si>
  <si>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</si>
  <si>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</si>
  <si>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</si>
  <si>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</si>
  <si>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</si>
  <si>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</si>
  <si>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</si>
  <si>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</si>
  <si>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</si>
  <si>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</si>
  <si>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</si>
  <si>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</si>
  <si>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</si>
  <si>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</si>
  <si>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</si>
  <si>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</si>
  <si>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</si>
  <si>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</si>
  <si>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</si>
  <si>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</si>
  <si>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</si>
  <si>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</si>
  <si>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</si>
  <si>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</si>
  <si>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</si>
  <si>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</si>
  <si>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</si>
  <si>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</si>
  <si>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</si>
  <si>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</si>
  <si>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</si>
  <si>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</si>
  <si>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</si>
  <si>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</si>
  <si>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</si>
  <si>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</si>
  <si>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</si>
  <si>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</si>
  <si>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</si>
  <si>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</si>
  <si>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</si>
  <si>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</si>
  <si>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</si>
  <si>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</si>
  <si>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</si>
  <si>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</si>
  <si>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</si>
  <si>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</si>
  <si>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</si>
  <si>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</si>
  <si>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</si>
  <si>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</si>
  <si>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</si>
  <si>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</si>
  <si>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</si>
  <si>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</si>
  <si>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</si>
  <si>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</si>
  <si>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</si>
  <si>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</si>
  <si>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</si>
  <si>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</si>
  <si>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</si>
  <si>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</si>
  <si>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</si>
  <si>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</si>
  <si>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</si>
  <si>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</si>
  <si>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</si>
  <si>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</si>
  <si>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</si>
  <si>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</si>
  <si>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</si>
  <si>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</si>
  <si>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</si>
  <si>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</si>
  <si>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</si>
  <si>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</si>
  <si>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</si>
  <si>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</si>
  <si>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</si>
  <si>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</si>
  <si>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</si>
  <si>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</si>
  <si>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</si>
  <si>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</si>
  <si>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</si>
  <si>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</si>
  <si>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</si>
  <si>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</si>
  <si>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</si>
  <si>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</si>
  <si>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</si>
  <si>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</si>
  <si>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</si>
  <si>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</si>
  <si>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</si>
  <si>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</si>
  <si>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</si>
  <si>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</si>
  <si>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</si>
  <si>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</si>
  <si>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</si>
  <si>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</si>
  <si>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</si>
  <si>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</si>
  <si>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</si>
  <si>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</si>
  <si>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</si>
  <si>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</si>
  <si>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</si>
  <si>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</si>
  <si>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</si>
  <si>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</si>
  <si>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</si>
  <si>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</si>
  <si>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</si>
  <si>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</si>
  <si>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</si>
  <si>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</si>
  <si>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</si>
  <si>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</si>
  <si>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</si>
  <si>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</si>
  <si>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</si>
  <si>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</si>
  <si>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</si>
  <si>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</si>
  <si>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</si>
  <si>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</si>
  <si>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</si>
  <si>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</si>
  <si>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</si>
  <si>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</si>
  <si>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</si>
  <si>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</si>
  <si>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</si>
  <si>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</si>
  <si>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</si>
  <si>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</si>
  <si>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</si>
  <si>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</si>
  <si>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</si>
  <si>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</si>
  <si>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</si>
  <si>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</si>
  <si>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</si>
  <si>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</si>
  <si>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</si>
  <si>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</si>
  <si>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</si>
  <si>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</si>
  <si>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</si>
  <si>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</si>
  <si>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</si>
  <si>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</si>
  <si>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</si>
  <si>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</si>
  <si>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</si>
  <si>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</si>
  <si>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</si>
  <si>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</si>
  <si>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</si>
  <si>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</si>
  <si>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</si>
  <si>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</si>
  <si>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</si>
  <si>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</si>
  <si>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</si>
  <si>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</si>
  <si>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</si>
  <si>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</si>
  <si>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</si>
  <si>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</si>
  <si>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</si>
  <si>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</si>
  <si>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</si>
  <si>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</si>
  <si>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</si>
  <si>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</si>
  <si>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</si>
  <si>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</si>
  <si>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</si>
  <si>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</si>
  <si>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</si>
  <si>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</si>
  <si>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</si>
  <si>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</si>
  <si>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</si>
  <si>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</si>
  <si>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</si>
  <si>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</si>
  <si>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</si>
  <si>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</si>
  <si>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</si>
  <si>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</si>
  <si>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</si>
  <si>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</si>
  <si>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</si>
  <si>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</si>
  <si>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</si>
  <si>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</si>
  <si>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</si>
  <si>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</si>
  <si>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</si>
  <si>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</si>
  <si>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</si>
  <si>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</si>
  <si>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</si>
  <si>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</si>
  <si>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</si>
  <si>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</si>
  <si>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</si>
  <si>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</si>
  <si>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</si>
  <si>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</si>
  <si>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</si>
  <si>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</si>
  <si>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</si>
  <si>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</si>
  <si>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</si>
  <si>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</si>
  <si>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</si>
  <si>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</si>
  <si>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</si>
  <si>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</si>
  <si>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</si>
  <si>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</si>
  <si>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</si>
  <si>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</si>
  <si>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</si>
  <si>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</si>
  <si>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</si>
  <si>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</si>
  <si>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</si>
  <si>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</si>
  <si>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</si>
  <si>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</si>
  <si>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</si>
  <si>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</si>
  <si>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</si>
  <si>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</si>
  <si>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</si>
  <si>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</si>
  <si>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</si>
  <si>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</si>
  <si>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</si>
  <si>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</si>
  <si>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</si>
  <si>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</si>
  <si>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</si>
  <si>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</si>
  <si>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</si>
  <si>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</si>
  <si>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</si>
  <si>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</si>
  <si>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</si>
  <si>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</si>
  <si>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</si>
  <si>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</si>
  <si>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</si>
  <si>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</si>
  <si>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</si>
  <si>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</si>
  <si>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</si>
  <si>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</si>
  <si>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</si>
  <si>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</si>
  <si>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</si>
  <si>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</si>
  <si>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</si>
  <si>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</si>
  <si>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</si>
  <si>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</si>
  <si>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</si>
  <si>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</si>
  <si>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</si>
  <si>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</si>
  <si>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</si>
  <si>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</si>
  <si>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</si>
  <si>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</si>
  <si>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</si>
  <si>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</si>
  <si>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</si>
  <si>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</si>
  <si>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</si>
  <si>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</si>
  <si>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</si>
  <si>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</si>
  <si>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</si>
  <si>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</si>
  <si>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</si>
  <si>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</si>
  <si>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</si>
  <si>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</si>
  <si>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</si>
  <si>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</si>
  <si>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</si>
  <si>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</si>
  <si>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</si>
  <si>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</si>
  <si>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</si>
  <si>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</si>
  <si>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</si>
  <si>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</si>
  <si>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</si>
  <si>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</si>
  <si>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</si>
  <si>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</si>
  <si>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</si>
  <si>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</si>
  <si>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</si>
  <si>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</si>
  <si>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</si>
  <si>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</si>
  <si>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</si>
  <si>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</si>
  <si>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</si>
  <si>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</si>
  <si>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</si>
  <si>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</si>
  <si>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</si>
  <si>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</si>
  <si>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</si>
  <si>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</si>
  <si>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</si>
  <si>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</si>
  <si>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</si>
  <si>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</si>
  <si>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</si>
  <si>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</si>
  <si>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</si>
  <si>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</si>
  <si>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</si>
  <si>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</si>
  <si>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</si>
  <si>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</si>
  <si>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</si>
  <si>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</si>
  <si>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</si>
  <si>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</si>
  <si>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</si>
  <si>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</si>
  <si>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</si>
  <si>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</si>
  <si>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</si>
  <si>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</si>
  <si>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</si>
  <si>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</si>
  <si>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</si>
  <si>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</si>
  <si>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</si>
  <si>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</si>
  <si>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</si>
  <si>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</si>
  <si>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</si>
  <si>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</si>
  <si>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</si>
  <si>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</si>
  <si>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</si>
  <si>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</si>
  <si>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</si>
  <si>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</si>
  <si>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</si>
  <si>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</si>
  <si>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</si>
  <si>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</si>
  <si>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</si>
  <si>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</si>
  <si>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</si>
  <si>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</si>
  <si>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</si>
  <si>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</si>
  <si>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</si>
  <si>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</si>
  <si>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</si>
  <si>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</si>
  <si>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</si>
  <si>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</si>
  <si>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</si>
  <si>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</si>
  <si>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</si>
  <si>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</si>
  <si>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</si>
  <si>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</si>
  <si>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</si>
  <si>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</si>
  <si>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</si>
  <si>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</si>
  <si>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</si>
  <si>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</si>
  <si>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</si>
  <si>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</si>
  <si>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</si>
  <si>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</si>
  <si>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</si>
  <si>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</si>
  <si>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</si>
  <si>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</si>
  <si>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</si>
  <si>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</si>
  <si>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</si>
  <si>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</si>
  <si>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</si>
  <si>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</si>
  <si>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</si>
  <si>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</si>
  <si>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</si>
  <si>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</si>
  <si>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</si>
  <si>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</si>
  <si>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</si>
  <si>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</si>
  <si>
    <t>Row Labels</t>
  </si>
  <si>
    <t>(blank)</t>
  </si>
  <si>
    <t>Grand Total</t>
  </si>
  <si>
    <t>Sum of Open</t>
  </si>
  <si>
    <t>Sum of Close</t>
  </si>
  <si>
    <t>End</t>
  </si>
  <si>
    <t>Srt</t>
  </si>
  <si>
    <t>Dialy Volume 2018 vs 2017</t>
  </si>
  <si>
    <t>Code run time in sec</t>
  </si>
  <si>
    <t>Difference in seconds</t>
  </si>
  <si>
    <t>2018 vs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</si>
</sst>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6"/>
      <color rgb="FF000000"/>
      <name val="Calibri"/>
      <family val="2"/>
    </font>
    <font>
      <sz val="11"/>
      <color rgb="FF000000"/>
      <name val="Calibri"/>
      <family val="2"/>
    </font>
    <font>
      <b/>
      <i/>
      <sz val="16"/>
      <color rgb="FFFF0000"/>
      <name val="Calibri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1" applyNumberFormat="1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6" fillId="2" borderId="0" xfId="0" applyNumberFormat="1" applyFont="1" applyFill="1"/>
    <xf numFmtId="164" fontId="6" fillId="2" borderId="0" xfId="0" applyNumberFormat="1" applyFont="1" applyFill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5</xdr:row>
          <xdr:rowOff>57150</xdr:rowOff>
        </xdr:from>
        <xdr:to>
          <xdr:col>9</xdr:col>
          <xdr:colOff>104775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Refactored</a:t>
              </a: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161925</xdr:rowOff>
        </xdr:from>
        <xdr:to>
          <xdr:col>8</xdr:col>
          <xdr:colOff>600075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ouglas Oliveira" refreshedDate="44509.509090277781" createdVersion="7" refreshedVersion="7" minRefreshableVersion="3" recordCount="3013" xr:uid="{20AB5188-E42B-4152-B77D-BA8A918CDE46}">
  <cacheSource type="worksheet">
    <worksheetSource ref="A1:H1048576" sheet="2017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0.7" maxValue="71.400002000000001"/>
    </cacheField>
    <cacheField name="High" numFmtId="0">
      <sharedItems containsString="0" containsBlank="1" containsNumber="1" minValue="0.71" maxValue="71.800003000000004"/>
    </cacheField>
    <cacheField name="Low" numFmtId="0">
      <sharedItems containsString="0" containsBlank="1" containsNumber="1" minValue="0.65" maxValue="69.650002000000001"/>
    </cacheField>
    <cacheField name="Close" numFmtId="0">
      <sharedItems containsString="0" containsBlank="1" containsNumber="1" minValue="0.7" maxValue="70.629997000000003"/>
    </cacheField>
    <cacheField name="Adj Close" numFmtId="0">
      <sharedItems containsString="0" containsBlank="1" containsNumber="1" minValue="0.7" maxValue="70.629997000000003"/>
    </cacheField>
    <cacheField name="Volume" numFmtId="0">
      <sharedItems containsString="0" containsBlank="1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BEC8D3-2B8C-40EF-8832-20806E2EEE75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N12:P26" firstHeaderRow="0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dataField="1" showAll="0"/>
    <pivotField showAll="0"/>
    <pivotField showAll="0"/>
    <pivotField dataField="1" showAll="0"/>
    <pivotField showAll="0"/>
    <pivotField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pen" fld="2" baseField="0" baseItem="0"/>
    <dataField name="Sum of Clos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Q15" sqref="Q15"/>
    </sheetView>
  </sheetViews>
  <sheetFormatPr defaultColWidth="8.85546875" defaultRowHeight="15" x14ac:dyDescent="0.25"/>
  <cols>
    <col min="14" max="14" width="13.140625" bestFit="1" customWidth="1"/>
    <col min="15" max="16" width="12.42578125" bestFit="1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1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Q10" t="s">
        <v>533</v>
      </c>
      <c r="R10" t="s">
        <v>534</v>
      </c>
    </row>
    <row r="11" spans="1:1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N12" s="7" t="s">
        <v>528</v>
      </c>
      <c r="O12" t="s">
        <v>531</v>
      </c>
      <c r="P12" t="s">
        <v>532</v>
      </c>
    </row>
    <row r="13" spans="1:1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N13" s="8" t="s">
        <v>8</v>
      </c>
      <c r="O13" s="9">
        <v>5289.5499880000025</v>
      </c>
      <c r="P13" s="9">
        <v>5285.5999999999985</v>
      </c>
      <c r="Q13" s="10">
        <f>GETPIVOTDATA("Sum of Close",$N$12,"Ticker","AY")/GETPIVOTDATA("Sum of Open",$N$12,"Ticker","AY")-1</f>
        <v>-7.4675312814231898E-4</v>
      </c>
    </row>
    <row r="14" spans="1:1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  <c r="N14" s="8" t="s">
        <v>9</v>
      </c>
      <c r="O14" s="9">
        <v>3755.4599900000021</v>
      </c>
      <c r="P14" s="9">
        <v>3760.2200029999995</v>
      </c>
      <c r="Q14" s="10">
        <f>GETPIVOTDATA("Sum of Close",$N$12,"Ticker","CSIQ")/GETPIVOTDATA("Sum of Open",$N$12,"Ticker","CSIQ")-1</f>
        <v>1.2674913359940199E-3</v>
      </c>
    </row>
    <row r="15" spans="1:1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  <c r="N15" s="8" t="s">
        <v>10</v>
      </c>
      <c r="O15" s="9">
        <v>6961.0400100000015</v>
      </c>
      <c r="P15" s="9">
        <v>6983.5199879999964</v>
      </c>
      <c r="Q15" s="10">
        <f t="shared" ref="Q14:Q25" si="0">GETPIVOTDATA("Sum of Close",$N$12,"Ticker","AY")/GETPIVOTDATA("Sum of Open",$N$12,"Ticker","AY")-1</f>
        <v>-7.4675312814231898E-4</v>
      </c>
    </row>
    <row r="16" spans="1:1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  <c r="N16" s="8" t="s">
        <v>11</v>
      </c>
      <c r="O16" s="9">
        <v>348.53000000000014</v>
      </c>
      <c r="P16" s="9">
        <v>349.04000000000008</v>
      </c>
      <c r="Q16" s="10">
        <f t="shared" si="0"/>
        <v>-7.4675312814231898E-4</v>
      </c>
    </row>
    <row r="17" spans="1:17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  <c r="N17" s="8" t="s">
        <v>12</v>
      </c>
      <c r="O17" s="9">
        <v>10778.709989999996</v>
      </c>
      <c r="P17" s="9">
        <v>10790.549999000003</v>
      </c>
      <c r="Q17" s="10">
        <f t="shared" si="0"/>
        <v>-7.4675312814231898E-4</v>
      </c>
    </row>
    <row r="18" spans="1:17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  <c r="N18" s="8" t="s">
        <v>13</v>
      </c>
      <c r="O18" s="9">
        <v>5565.6299940000008</v>
      </c>
      <c r="P18" s="9">
        <v>5568.1799950000004</v>
      </c>
      <c r="Q18" s="10">
        <f t="shared" si="0"/>
        <v>-7.4675312814231898E-4</v>
      </c>
    </row>
    <row r="19" spans="1:17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  <c r="N19" s="8" t="s">
        <v>14</v>
      </c>
      <c r="O19" s="9">
        <v>5329.0899990000034</v>
      </c>
      <c r="P19" s="9">
        <v>5341.650016999999</v>
      </c>
      <c r="Q19" s="10">
        <f t="shared" si="0"/>
        <v>-7.4675312814231898E-4</v>
      </c>
    </row>
    <row r="20" spans="1:17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  <c r="N20" s="8" t="s">
        <v>15</v>
      </c>
      <c r="O20" s="9">
        <v>1476.2399999999998</v>
      </c>
      <c r="P20" s="9">
        <v>1476.4149999999997</v>
      </c>
      <c r="Q20" s="10">
        <f t="shared" si="0"/>
        <v>-7.4675312814231898E-4</v>
      </c>
    </row>
    <row r="21" spans="1:17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  <c r="N21" s="8" t="s">
        <v>16</v>
      </c>
      <c r="O21" s="9">
        <v>5724.6999909999995</v>
      </c>
      <c r="P21" s="9">
        <v>5736.4249929999996</v>
      </c>
      <c r="Q21" s="10">
        <f t="shared" si="0"/>
        <v>-7.4675312814231898E-4</v>
      </c>
    </row>
    <row r="22" spans="1:17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  <c r="N22" s="8" t="s">
        <v>17</v>
      </c>
      <c r="O22" s="9">
        <v>1996.3500000000001</v>
      </c>
      <c r="P22" s="9">
        <v>1996.4599999999996</v>
      </c>
      <c r="Q22" s="10">
        <f t="shared" si="0"/>
        <v>-7.4675312814231898E-4</v>
      </c>
    </row>
    <row r="23" spans="1:17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  <c r="N23" s="8" t="s">
        <v>18</v>
      </c>
      <c r="O23" s="9">
        <v>3127.5900000000015</v>
      </c>
      <c r="P23" s="9">
        <v>3127.44</v>
      </c>
      <c r="Q23" s="10">
        <f t="shared" si="0"/>
        <v>-7.4675312814231898E-4</v>
      </c>
    </row>
    <row r="24" spans="1:17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  <c r="N24" s="8" t="s">
        <v>19</v>
      </c>
      <c r="O24" s="9">
        <v>939.2</v>
      </c>
      <c r="P24" s="9">
        <v>940.00000000000023</v>
      </c>
      <c r="Q24" s="10">
        <f t="shared" si="0"/>
        <v>-7.4675312814231898E-4</v>
      </c>
    </row>
    <row r="25" spans="1:17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  <c r="N25" s="8" t="s">
        <v>529</v>
      </c>
      <c r="O25" s="9"/>
      <c r="P25" s="9"/>
      <c r="Q25" s="10">
        <f t="shared" si="0"/>
        <v>-7.4675312814231898E-4</v>
      </c>
    </row>
    <row r="26" spans="1:17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  <c r="N26" s="8" t="s">
        <v>530</v>
      </c>
      <c r="O26" s="9">
        <v>51292.089962000005</v>
      </c>
      <c r="P26" s="9">
        <v>51355.499994999998</v>
      </c>
    </row>
    <row r="27" spans="1:17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17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17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17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17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17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J13" sqref="J1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40FE3-AC69-408E-91B3-048A346EC882}">
  <sheetPr codeName="Sheet3"/>
  <dimension ref="A1:C4"/>
  <sheetViews>
    <sheetView workbookViewId="0">
      <selection activeCell="G19" sqref="G19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BCE10-4041-45AD-92D5-5DF88A1CC56C}">
  <sheetPr codeName="Sheet4"/>
  <dimension ref="A1:C15"/>
  <sheetViews>
    <sheetView tabSelected="1" workbookViewId="0">
      <selection activeCell="E22" sqref="E22"/>
    </sheetView>
  </sheetViews>
  <sheetFormatPr defaultRowHeight="15" x14ac:dyDescent="0.25"/>
  <cols>
    <col min="1" max="1" width="15.42578125" bestFit="1" customWidth="1"/>
    <col min="2" max="3" width="18" bestFit="1" customWidth="1"/>
    <col min="4" max="4" width="7" bestFit="1" customWidth="1"/>
  </cols>
  <sheetData>
    <row r="1" spans="1:3" x14ac:dyDescent="0.25">
      <c r="A1" t="s">
        <v>527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238125</xdr:colOff>
                    <xdr:row>5</xdr:row>
                    <xdr:rowOff>57150</xdr:rowOff>
                  </from>
                  <to>
                    <xdr:col>9</xdr:col>
                    <xdr:colOff>104775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247650</xdr:colOff>
                    <xdr:row>10</xdr:row>
                    <xdr:rowOff>161925</xdr:rowOff>
                  </from>
                  <to>
                    <xdr:col>8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10C9-A11B-4C62-A74E-826F2350CBFA}">
  <sheetPr codeName="Sheet5"/>
  <dimension ref="A3:J22"/>
  <sheetViews>
    <sheetView showGridLines="0" workbookViewId="0">
      <selection activeCell="H27" sqref="H27"/>
    </sheetView>
  </sheetViews>
  <sheetFormatPr defaultRowHeight="15" x14ac:dyDescent="0.25"/>
  <cols>
    <col min="1" max="1" width="21.28515625" customWidth="1"/>
    <col min="3" max="3" width="18" bestFit="1" customWidth="1"/>
    <col min="7" max="7" width="18" bestFit="1" customWidth="1"/>
    <col min="8" max="8" width="10.7109375" customWidth="1"/>
    <col min="10" max="10" width="24.42578125" style="12" bestFit="1" customWidth="1"/>
  </cols>
  <sheetData>
    <row r="3" spans="2:10" ht="18.75" x14ac:dyDescent="0.3">
      <c r="B3" s="16" t="s">
        <v>526</v>
      </c>
      <c r="F3" s="16" t="s">
        <v>527</v>
      </c>
    </row>
    <row r="5" spans="2:10" x14ac:dyDescent="0.25">
      <c r="B5" s="3" t="s">
        <v>0</v>
      </c>
      <c r="C5" s="3" t="s">
        <v>524</v>
      </c>
      <c r="D5" s="3" t="s">
        <v>525</v>
      </c>
      <c r="F5" s="3" t="s">
        <v>0</v>
      </c>
      <c r="G5" s="3" t="s">
        <v>524</v>
      </c>
      <c r="H5" s="3" t="s">
        <v>525</v>
      </c>
      <c r="J5" s="13" t="s">
        <v>535</v>
      </c>
    </row>
    <row r="6" spans="2:10" x14ac:dyDescent="0.25">
      <c r="B6" t="s">
        <v>8</v>
      </c>
      <c r="C6" s="4">
        <v>136070900</v>
      </c>
      <c r="D6" s="6">
        <v>8.9368253946304321E-2</v>
      </c>
      <c r="F6" t="s">
        <v>8</v>
      </c>
      <c r="G6" s="4">
        <v>83079900</v>
      </c>
      <c r="H6" s="14">
        <v>-7.2847634553909302E-2</v>
      </c>
      <c r="J6" s="15">
        <f>G6/C6-1</f>
        <v>-0.38943668337609294</v>
      </c>
    </row>
    <row r="7" spans="2:10" x14ac:dyDescent="0.25">
      <c r="B7" t="s">
        <v>9</v>
      </c>
      <c r="C7" s="4">
        <v>310592800</v>
      </c>
      <c r="D7" s="6">
        <v>0.33070248365402222</v>
      </c>
      <c r="F7" t="s">
        <v>9</v>
      </c>
      <c r="G7" s="4">
        <v>200879900</v>
      </c>
      <c r="H7" s="14">
        <v>-0.16336052119731903</v>
      </c>
      <c r="J7" s="15">
        <f t="shared" ref="J7:J17" si="0">G7/C7-1</f>
        <v>-0.35323710015170984</v>
      </c>
    </row>
    <row r="8" spans="2:10" x14ac:dyDescent="0.25">
      <c r="B8" t="s">
        <v>10</v>
      </c>
      <c r="C8" s="4">
        <v>35796200</v>
      </c>
      <c r="D8" s="6">
        <v>1.9944583177566528</v>
      </c>
      <c r="F8" t="s">
        <v>10</v>
      </c>
      <c r="G8" s="4">
        <v>107873900</v>
      </c>
      <c r="H8" s="14">
        <v>-0.62601888179779053</v>
      </c>
      <c r="J8" s="11">
        <f t="shared" si="0"/>
        <v>2.0135573049653317</v>
      </c>
    </row>
    <row r="9" spans="2:10" x14ac:dyDescent="0.25">
      <c r="B9" t="s">
        <v>11</v>
      </c>
      <c r="C9" s="4">
        <v>221772100</v>
      </c>
      <c r="D9" s="6">
        <v>1.2952382564544678</v>
      </c>
      <c r="F9" t="s">
        <v>11</v>
      </c>
      <c r="G9" s="4">
        <v>607473500</v>
      </c>
      <c r="H9" s="6">
        <v>0.81923085451126099</v>
      </c>
      <c r="J9" s="11">
        <f t="shared" si="0"/>
        <v>1.7391790942142857</v>
      </c>
    </row>
    <row r="10" spans="2:10" x14ac:dyDescent="0.25">
      <c r="B10" t="s">
        <v>12</v>
      </c>
      <c r="C10" s="4">
        <v>684181400</v>
      </c>
      <c r="D10" s="6">
        <v>1.0131185054779053</v>
      </c>
      <c r="F10" t="s">
        <v>12</v>
      </c>
      <c r="G10" s="4">
        <v>478113900</v>
      </c>
      <c r="H10" s="14">
        <v>-0.39713191986083984</v>
      </c>
      <c r="J10" s="15">
        <f t="shared" si="0"/>
        <v>-0.30118839828150834</v>
      </c>
    </row>
    <row r="11" spans="2:10" x14ac:dyDescent="0.25">
      <c r="B11" t="s">
        <v>13</v>
      </c>
      <c r="C11" s="4">
        <v>80949300</v>
      </c>
      <c r="D11" s="6">
        <v>0.2583681046962738</v>
      </c>
      <c r="F11" t="s">
        <v>13</v>
      </c>
      <c r="G11" s="4">
        <v>104340600</v>
      </c>
      <c r="H11" s="14">
        <v>-0.20658062398433685</v>
      </c>
      <c r="J11" s="11">
        <f t="shared" si="0"/>
        <v>0.28896235050828101</v>
      </c>
    </row>
    <row r="12" spans="2:10" x14ac:dyDescent="0.25">
      <c r="B12" t="s">
        <v>14</v>
      </c>
      <c r="C12" s="4">
        <v>191632200</v>
      </c>
      <c r="D12" s="6">
        <v>0.53870755434036255</v>
      </c>
      <c r="F12" t="s">
        <v>14</v>
      </c>
      <c r="G12" s="4">
        <v>158309000</v>
      </c>
      <c r="H12" s="14">
        <v>-0.6053471565246582</v>
      </c>
      <c r="J12" s="15">
        <f t="shared" si="0"/>
        <v>-0.17389144413099678</v>
      </c>
    </row>
    <row r="13" spans="2:10" x14ac:dyDescent="0.25">
      <c r="B13" t="s">
        <v>15</v>
      </c>
      <c r="C13" s="4">
        <v>267681300</v>
      </c>
      <c r="D13" s="6">
        <v>5.5456161499023438E-2</v>
      </c>
      <c r="F13" t="s">
        <v>15</v>
      </c>
      <c r="G13" s="4">
        <v>502757100</v>
      </c>
      <c r="H13" s="6">
        <v>0.83952707052230835</v>
      </c>
      <c r="J13" s="11">
        <f t="shared" si="0"/>
        <v>0.87819283603299891</v>
      </c>
    </row>
    <row r="14" spans="2:10" x14ac:dyDescent="0.25">
      <c r="B14" t="s">
        <v>16</v>
      </c>
      <c r="C14" s="4">
        <v>206885200</v>
      </c>
      <c r="D14" s="6">
        <v>1.8446969985961914</v>
      </c>
      <c r="F14" t="s">
        <v>16</v>
      </c>
      <c r="G14" s="4">
        <v>237212300</v>
      </c>
      <c r="H14" s="14">
        <v>-7.7529586851596832E-2</v>
      </c>
      <c r="J14" s="11">
        <f t="shared" si="0"/>
        <v>0.14658902618456993</v>
      </c>
    </row>
    <row r="15" spans="2:10" x14ac:dyDescent="0.25">
      <c r="B15" t="s">
        <v>17</v>
      </c>
      <c r="C15" s="4">
        <v>782187000</v>
      </c>
      <c r="D15" s="6">
        <v>0.23065699636936188</v>
      </c>
      <c r="F15" t="s">
        <v>17</v>
      </c>
      <c r="G15" s="4">
        <v>538024300</v>
      </c>
      <c r="H15" s="14">
        <v>-0.44593092799186707</v>
      </c>
      <c r="J15" s="15">
        <f t="shared" si="0"/>
        <v>-0.31215387113311777</v>
      </c>
    </row>
    <row r="16" spans="2:10" x14ac:dyDescent="0.25">
      <c r="B16" t="s">
        <v>18</v>
      </c>
      <c r="C16" s="4">
        <v>139402800</v>
      </c>
      <c r="D16" s="14">
        <v>-7.2148971259593964E-2</v>
      </c>
      <c r="F16" t="s">
        <v>18</v>
      </c>
      <c r="G16" s="4">
        <v>151434700</v>
      </c>
      <c r="H16" s="14">
        <v>-4.9957673996686935E-2</v>
      </c>
      <c r="J16" s="11">
        <f t="shared" si="0"/>
        <v>8.6310318013698373E-2</v>
      </c>
    </row>
    <row r="17" spans="1:10" x14ac:dyDescent="0.25">
      <c r="B17" t="s">
        <v>19</v>
      </c>
      <c r="C17" s="4">
        <v>109487900</v>
      </c>
      <c r="D17" s="6">
        <v>0.50000005960464478</v>
      </c>
      <c r="F17" t="s">
        <v>19</v>
      </c>
      <c r="G17" s="4">
        <v>136539100</v>
      </c>
      <c r="H17" s="14">
        <v>-3.5443063825368881E-2</v>
      </c>
      <c r="J17" s="11">
        <f t="shared" si="0"/>
        <v>0.2470702241982905</v>
      </c>
    </row>
    <row r="20" spans="1:10" ht="18.75" x14ac:dyDescent="0.3">
      <c r="B20" s="17">
        <v>2017</v>
      </c>
      <c r="C20" s="17"/>
      <c r="D20" s="17"/>
      <c r="E20" s="16"/>
      <c r="F20" s="17">
        <v>2018</v>
      </c>
      <c r="G20" s="17"/>
      <c r="H20" s="17"/>
      <c r="J20" s="18" t="s">
        <v>537</v>
      </c>
    </row>
    <row r="21" spans="1:10" ht="18.75" x14ac:dyDescent="0.3">
      <c r="B21" s="19"/>
      <c r="C21" s="19"/>
      <c r="D21" s="19"/>
      <c r="F21" s="19"/>
      <c r="G21" s="19"/>
      <c r="H21" s="19"/>
      <c r="J21" s="20" t="s">
        <v>538</v>
      </c>
    </row>
    <row r="22" spans="1:10" ht="15.75" x14ac:dyDescent="0.25">
      <c r="A22" s="23" t="s">
        <v>536</v>
      </c>
      <c r="B22" s="22">
        <v>0.94140630000000003</v>
      </c>
      <c r="C22" s="22"/>
      <c r="D22" s="22"/>
      <c r="F22" s="22">
        <v>0.92478130000000003</v>
      </c>
      <c r="G22" s="22"/>
      <c r="H22" s="22"/>
      <c r="J22" s="21">
        <f>F22-B22</f>
        <v>-1.6625000000000001E-2</v>
      </c>
    </row>
  </sheetData>
  <mergeCells count="4">
    <mergeCell ref="B22:D22"/>
    <mergeCell ref="F22:H22"/>
    <mergeCell ref="B20:D20"/>
    <mergeCell ref="F20:H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DQAnalysis</vt:lpstr>
      <vt:lpstr>All Stocks Analysis</vt:lpstr>
      <vt:lpstr>Comp All Stocks 2017 vs 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Oliveira</dc:creator>
  <cp:lastModifiedBy>Douglas Oliveira</cp:lastModifiedBy>
  <dcterms:created xsi:type="dcterms:W3CDTF">2019-05-02T20:23:55Z</dcterms:created>
  <dcterms:modified xsi:type="dcterms:W3CDTF">2021-11-09T18:45:22Z</dcterms:modified>
</cp:coreProperties>
</file>